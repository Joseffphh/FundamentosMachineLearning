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f\Downloads\"/>
    </mc:Choice>
  </mc:AlternateContent>
  <xr:revisionPtr revIDLastSave="0" documentId="8_{43B59CC9-F6B5-4FF8-9B29-32D78D0FF5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NN_Manual" sheetId="1" r:id="rId1"/>
  </sheets>
  <definedNames>
    <definedName name="_xlnm._FilterDatabase" localSheetId="0" hidden="1">KNN_Manual!$D$17:$D$24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20" i="1"/>
  <c r="B24" i="1"/>
  <c r="C24" i="1" s="1"/>
  <c r="A24" i="1"/>
  <c r="D24" i="1"/>
  <c r="B23" i="1"/>
  <c r="C23" i="1" s="1"/>
  <c r="A23" i="1"/>
  <c r="D23" i="1"/>
  <c r="B22" i="1"/>
  <c r="C22" i="1" s="1"/>
  <c r="A22" i="1"/>
  <c r="D19" i="1"/>
  <c r="B21" i="1"/>
  <c r="C21" i="1" s="1"/>
  <c r="A21" i="1"/>
  <c r="D22" i="1"/>
  <c r="B20" i="1"/>
  <c r="C20" i="1" s="1"/>
  <c r="A20" i="1"/>
  <c r="D21" i="1"/>
  <c r="B19" i="1"/>
  <c r="C19" i="1" s="1"/>
  <c r="A19" i="1"/>
  <c r="D18" i="1"/>
  <c r="B18" i="1"/>
  <c r="C18" i="1" s="1"/>
  <c r="A18" i="1"/>
  <c r="B17" i="1"/>
  <c r="C17" i="1" s="1"/>
  <c r="A17" i="1"/>
</calcChain>
</file>

<file path=xl/sharedStrings.xml><?xml version="1.0" encoding="utf-8"?>
<sst xmlns="http://schemas.openxmlformats.org/spreadsheetml/2006/main" count="28" uniqueCount="22">
  <si>
    <t>ID</t>
  </si>
  <si>
    <t>Fuerza (X1)</t>
  </si>
  <si>
    <t>Destreza (X2)</t>
  </si>
  <si>
    <t>Inteligencia (X3)</t>
  </si>
  <si>
    <t>Clase</t>
  </si>
  <si>
    <t>Es Guerrero (Y)</t>
  </si>
  <si>
    <t>Pícaro</t>
  </si>
  <si>
    <t>Guerrero</t>
  </si>
  <si>
    <t>Mago</t>
  </si>
  <si>
    <t>ID Prueba</t>
  </si>
  <si>
    <t>Fuerza_P</t>
  </si>
  <si>
    <t>Destreza_P</t>
  </si>
  <si>
    <t>Inteligencia_P</t>
  </si>
  <si>
    <t>Clase Real</t>
  </si>
  <si>
    <t>Es Guerrero Real</t>
  </si>
  <si>
    <t>ID Entrenam.</t>
  </si>
  <si>
    <t>Distancia^2 = (X1-X1_P)^2 + (X2-X2_P)^2 + (X3-X3_P)^2</t>
  </si>
  <si>
    <t>Distancia Real (Raíz)</t>
  </si>
  <si>
    <t>Clase del Vecino</t>
  </si>
  <si>
    <t>Datos de entrenamiento</t>
  </si>
  <si>
    <t>caso de prueba KNN</t>
  </si>
  <si>
    <t>calculo de distancia, caso de prueba contra 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</si>
</sst>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20" customWidth="1"/>
    <col min="2" max="2" width="50" customWidth="1"/>
    <col min="3" max="6" width="20" customWidth="1"/>
  </cols>
  <sheetData>
    <row r="1" spans="1:6" x14ac:dyDescent="0.25">
      <c r="A1" t="s">
        <v>19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2">
        <v>51</v>
      </c>
      <c r="C3" s="2">
        <v>92</v>
      </c>
      <c r="D3" s="2">
        <v>14</v>
      </c>
      <c r="E3" s="2" t="s">
        <v>6</v>
      </c>
      <c r="F3" s="2">
        <v>0</v>
      </c>
    </row>
    <row r="4" spans="1:6" x14ac:dyDescent="0.25">
      <c r="A4" s="2">
        <v>2</v>
      </c>
      <c r="B4" s="2">
        <v>71</v>
      </c>
      <c r="C4" s="2">
        <v>60</v>
      </c>
      <c r="D4" s="2">
        <v>20</v>
      </c>
      <c r="E4" s="2" t="s">
        <v>7</v>
      </c>
      <c r="F4" s="2">
        <v>1</v>
      </c>
    </row>
    <row r="5" spans="1:6" x14ac:dyDescent="0.25">
      <c r="A5" s="2">
        <v>3</v>
      </c>
      <c r="B5" s="2">
        <v>82</v>
      </c>
      <c r="C5" s="2">
        <v>86</v>
      </c>
      <c r="D5" s="2">
        <v>74</v>
      </c>
      <c r="E5" s="2" t="s">
        <v>6</v>
      </c>
      <c r="F5" s="2">
        <v>0</v>
      </c>
    </row>
    <row r="6" spans="1:6" x14ac:dyDescent="0.25">
      <c r="A6" s="2">
        <v>4</v>
      </c>
      <c r="B6" s="2">
        <v>74</v>
      </c>
      <c r="C6" s="2">
        <v>87</v>
      </c>
      <c r="D6" s="2">
        <v>99</v>
      </c>
      <c r="E6" s="2" t="s">
        <v>8</v>
      </c>
      <c r="F6" s="2">
        <v>0</v>
      </c>
    </row>
    <row r="7" spans="1:6" x14ac:dyDescent="0.25">
      <c r="A7" s="2">
        <v>5</v>
      </c>
      <c r="B7" s="2">
        <v>23</v>
      </c>
      <c r="C7" s="2">
        <v>2</v>
      </c>
      <c r="D7" s="2">
        <v>21</v>
      </c>
      <c r="E7" s="2" t="s">
        <v>7</v>
      </c>
      <c r="F7" s="2">
        <v>1</v>
      </c>
    </row>
    <row r="8" spans="1:6" x14ac:dyDescent="0.25">
      <c r="A8" s="2">
        <v>6</v>
      </c>
      <c r="B8" s="2">
        <v>52</v>
      </c>
      <c r="C8" s="2">
        <v>1</v>
      </c>
      <c r="D8" s="2">
        <v>87</v>
      </c>
      <c r="E8" s="2" t="s">
        <v>8</v>
      </c>
      <c r="F8" s="2">
        <v>0</v>
      </c>
    </row>
    <row r="9" spans="1:6" x14ac:dyDescent="0.25">
      <c r="A9" s="2">
        <v>7</v>
      </c>
      <c r="B9" s="2">
        <v>29</v>
      </c>
      <c r="C9" s="2">
        <v>37</v>
      </c>
      <c r="D9" s="2">
        <v>1</v>
      </c>
      <c r="E9" s="2" t="s">
        <v>6</v>
      </c>
      <c r="F9" s="2">
        <v>0</v>
      </c>
    </row>
    <row r="10" spans="1:6" x14ac:dyDescent="0.25">
      <c r="A10" s="2">
        <v>8</v>
      </c>
      <c r="B10" s="2">
        <v>63</v>
      </c>
      <c r="C10" s="2">
        <v>59</v>
      </c>
      <c r="D10" s="2">
        <v>20</v>
      </c>
      <c r="E10" s="2" t="s">
        <v>7</v>
      </c>
      <c r="F10" s="2">
        <v>1</v>
      </c>
    </row>
    <row r="11" spans="1:6" x14ac:dyDescent="0.25">
      <c r="A11" t="s">
        <v>20</v>
      </c>
    </row>
    <row r="12" spans="1:6" x14ac:dyDescent="0.25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</row>
    <row r="13" spans="1:6" x14ac:dyDescent="0.25">
      <c r="A13" s="2">
        <v>9</v>
      </c>
      <c r="B13" s="2">
        <v>32</v>
      </c>
      <c r="C13" s="2">
        <v>75</v>
      </c>
      <c r="D13" s="2">
        <v>57</v>
      </c>
      <c r="E13" s="2" t="s">
        <v>6</v>
      </c>
      <c r="F13" s="2">
        <v>0</v>
      </c>
    </row>
    <row r="15" spans="1:6" x14ac:dyDescent="0.25">
      <c r="A15" t="s">
        <v>21</v>
      </c>
    </row>
    <row r="16" spans="1:6" x14ac:dyDescent="0.25">
      <c r="A16" s="4" t="s">
        <v>15</v>
      </c>
      <c r="B16" s="4" t="s">
        <v>16</v>
      </c>
      <c r="C16" s="4" t="s">
        <v>17</v>
      </c>
      <c r="D16" s="4" t="s">
        <v>18</v>
      </c>
    </row>
    <row r="17" spans="1:4" x14ac:dyDescent="0.25">
      <c r="A17" s="2">
        <f t="shared" ref="A17:A24" si="0">A3</f>
        <v>1</v>
      </c>
      <c r="B17" s="2">
        <f>(B3-$B$13)^2 + (C3-$C$13)^2 + (D3-$D$13)^2</f>
        <v>2499</v>
      </c>
      <c r="C17" s="5">
        <f>SQRT(B17)</f>
        <v>49.989998999799951</v>
      </c>
      <c r="D17" s="2">
        <f>F3</f>
        <v>0</v>
      </c>
    </row>
    <row r="18" spans="1:4" x14ac:dyDescent="0.25">
      <c r="A18" s="2">
        <f>A4</f>
        <v>2</v>
      </c>
      <c r="B18" s="2">
        <f>(B4-$B$13)^2 + (C4-$C$13)^2 + (D4-$D$13)^2</f>
        <v>3115</v>
      </c>
      <c r="C18" s="5">
        <f>SQRT(B18)</f>
        <v>55.812185049503306</v>
      </c>
      <c r="D18" s="2">
        <f>F4</f>
        <v>1</v>
      </c>
    </row>
    <row r="19" spans="1:4" x14ac:dyDescent="0.25">
      <c r="A19" s="2">
        <f>A5</f>
        <v>3</v>
      </c>
      <c r="B19" s="2">
        <f>(B5-$B$13)^2 + (C5-$C$13)^2 + (D5-$D$13)^2</f>
        <v>2910</v>
      </c>
      <c r="C19" s="5">
        <f>SQRT(B19)</f>
        <v>53.944415837044708</v>
      </c>
      <c r="D19" s="2">
        <f>F5</f>
        <v>0</v>
      </c>
    </row>
    <row r="20" spans="1:4" x14ac:dyDescent="0.25">
      <c r="A20" s="2">
        <f>A6</f>
        <v>4</v>
      </c>
      <c r="B20" s="2">
        <f>(B6-$B$13)^2 + (C6-$C$13)^2 + (D6-$D$13)^2</f>
        <v>3672</v>
      </c>
      <c r="C20" s="5">
        <f>SQRT(B20)</f>
        <v>60.597029630172464</v>
      </c>
      <c r="D20" s="2">
        <f>F6</f>
        <v>0</v>
      </c>
    </row>
    <row r="21" spans="1:4" x14ac:dyDescent="0.25">
      <c r="A21" s="2">
        <f>A7</f>
        <v>5</v>
      </c>
      <c r="B21" s="2">
        <f>(B7-$B$13)^2 + (C7-$C$13)^2 + (D7-$D$13)^2</f>
        <v>6706</v>
      </c>
      <c r="C21" s="5">
        <f>SQRT(B21)</f>
        <v>81.890170350292962</v>
      </c>
      <c r="D21" s="2">
        <f>F7</f>
        <v>1</v>
      </c>
    </row>
    <row r="22" spans="1:4" x14ac:dyDescent="0.25">
      <c r="A22" s="2">
        <f>A8</f>
        <v>6</v>
      </c>
      <c r="B22" s="2">
        <f>(B8-$B$13)^2 + (C8-$C$13)^2 + (D8-$D$13)^2</f>
        <v>6776</v>
      </c>
      <c r="C22" s="5">
        <f>SQRT(B22)</f>
        <v>82.316462509026707</v>
      </c>
      <c r="D22" s="2">
        <f>F8</f>
        <v>0</v>
      </c>
    </row>
    <row r="23" spans="1:4" x14ac:dyDescent="0.25">
      <c r="A23" s="2">
        <f>A9</f>
        <v>7</v>
      </c>
      <c r="B23" s="2">
        <f>(B9-$B$13)^2 + (C9-$C$13)^2 + (D9-$D$13)^2</f>
        <v>4589</v>
      </c>
      <c r="C23" s="5">
        <f>SQRT(B23)</f>
        <v>67.742158217759794</v>
      </c>
      <c r="D23" s="2">
        <f>F9</f>
        <v>0</v>
      </c>
    </row>
    <row r="24" spans="1:4" x14ac:dyDescent="0.25">
      <c r="A24" s="2">
        <f>A10</f>
        <v>8</v>
      </c>
      <c r="B24" s="2">
        <f>(B10-$B$13)^2 + (C10-$C$13)^2 + (D10-$D$13)^2</f>
        <v>2586</v>
      </c>
      <c r="C24" s="5">
        <f>SQRT(B24)</f>
        <v>50.852728540364481</v>
      </c>
      <c r="D24" s="2">
        <f>F10</f>
        <v>1</v>
      </c>
    </row>
  </sheetData>
  <autoFilter ref="D17:D24" xr:uid="{00000000-0001-0000-0000-000000000000}">
    <sortState xmlns:xlrd2="http://schemas.microsoft.com/office/spreadsheetml/2017/richdata2" ref="D18:D24">
      <sortCondition descending="1" ref="D17:D2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KNN_Manual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Josefp DLR</cp:lastModifiedBy>
  <dcterms:created xsi:type="dcterms:W3CDTF">2026-10-08T01:29:38Z</dcterms:created>
  <dcterms:modified xsi:type="dcterms:W3CDTF">2026-10-08T01:40:02Z</dcterms:modified>
</cp:coreProperties>
</file>