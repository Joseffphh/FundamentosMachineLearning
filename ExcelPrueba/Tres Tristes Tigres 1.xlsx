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5a83f9486fee80/Documentos/ICDIA/Fundamentos de Machine Learning/"/>
    </mc:Choice>
  </mc:AlternateContent>
  <xr:revisionPtr revIDLastSave="142" documentId="8_{52221235-2A8A-4CB9-88B6-4549FC8D9724}" xr6:coauthVersionLast="47" xr6:coauthVersionMax="47" xr10:uidLastSave="{D8CBC832-D682-4977-B116-806FA2231B05}"/>
  <bookViews>
    <workbookView xWindow="-120" yWindow="-120" windowWidth="20730" windowHeight="11040" xr2:uid="{20287781-08CF-4F9E-85DE-B9D3488B70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1" i="1" l="1" a="1"/>
  <c r="K41" i="1" s="1"/>
  <c r="K40" i="1" a="1"/>
  <c r="K40" i="1" s="1"/>
  <c r="N37" i="1"/>
  <c r="H5" i="1"/>
  <c r="H14" i="1" s="1"/>
  <c r="I23" i="1" s="1"/>
  <c r="I5" i="1"/>
  <c r="I10" i="1" s="1"/>
  <c r="I13" i="1" l="1"/>
  <c r="I9" i="1"/>
  <c r="I14" i="1"/>
  <c r="H23" i="1" s="1"/>
  <c r="I12" i="1"/>
  <c r="I11" i="1"/>
  <c r="H13" i="1"/>
  <c r="H11" i="1"/>
  <c r="H12" i="1"/>
  <c r="H10" i="1"/>
  <c r="H9" i="1"/>
  <c r="I18" i="1" l="1"/>
  <c r="H18" i="1"/>
  <c r="I19" i="1"/>
  <c r="H19" i="1"/>
  <c r="I21" i="1"/>
  <c r="H21" i="1"/>
  <c r="I20" i="1"/>
  <c r="H20" i="1"/>
  <c r="I22" i="1"/>
  <c r="H22" i="1"/>
  <c r="H24" i="1" l="1"/>
  <c r="I24" i="1"/>
  <c r="L19" i="1" l="1"/>
  <c r="H28" i="1" l="1"/>
  <c r="I36" i="1" s="1"/>
  <c r="K36" i="1" l="1"/>
  <c r="M41" i="1"/>
  <c r="N41" i="1"/>
  <c r="I34" i="1"/>
  <c r="I33" i="1"/>
  <c r="I37" i="1"/>
  <c r="I32" i="1"/>
  <c r="I35" i="1"/>
  <c r="K32" i="1" l="1"/>
  <c r="M37" i="1"/>
  <c r="K33" i="1"/>
  <c r="M38" i="1"/>
  <c r="N38" i="1"/>
  <c r="K35" i="1"/>
  <c r="M40" i="1"/>
  <c r="N40" i="1"/>
  <c r="K37" i="1"/>
  <c r="M42" i="1"/>
  <c r="N42" i="1"/>
  <c r="K34" i="1"/>
  <c r="N39" i="1"/>
  <c r="M39" i="1"/>
  <c r="K38" i="1" l="1" a="1"/>
  <c r="K38" i="1" s="1"/>
  <c r="K3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<sst xmlns="http://schemas.openxmlformats.org/spreadsheetml/2006/main" count="23" uniqueCount="22">
  <si>
    <t>Horas de Estudio</t>
  </si>
  <si>
    <t>Puntuación</t>
  </si>
  <si>
    <t>Paso 1. Encontrar el centro de gravedad de los datos</t>
  </si>
  <si>
    <t>Paso 2. Medir la dispersión respecto al promedio</t>
  </si>
  <si>
    <t>Horas</t>
  </si>
  <si>
    <t>Paso 2 (Parte B) Calculando la pendiente matemática (b1)</t>
  </si>
  <si>
    <t>(xi-x)(yi-y)</t>
  </si>
  <si>
    <t>SUMATORIA</t>
  </si>
  <si>
    <t>B1</t>
  </si>
  <si>
    <t>Paso 3: Fijado el punto de partida (b0)</t>
  </si>
  <si>
    <t>y-</t>
  </si>
  <si>
    <t>b1</t>
  </si>
  <si>
    <t>x-</t>
  </si>
  <si>
    <t>Paso 4: La ecuación completada</t>
  </si>
  <si>
    <t>MSE</t>
  </si>
  <si>
    <t>MSE=</t>
  </si>
  <si>
    <t>RMSE=</t>
  </si>
  <si>
    <t>MAE=</t>
  </si>
  <si>
    <t>MAPE=</t>
  </si>
  <si>
    <t>MAPE</t>
  </si>
  <si>
    <t>MAE</t>
  </si>
  <si>
    <t>(xi-x)^2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</si>
</sst>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2" fontId="0" fillId="0" borderId="0" xfId="0" applyNumberFormat="1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47064</xdr:colOff>
      <xdr:row>31</xdr:row>
      <xdr:rowOff>183135</xdr:rowOff>
    </xdr:from>
    <xdr:ext cx="539700" cy="17722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6BCC94A2-2EB3-7FDE-FF3D-A9AADC0BB39B}"/>
                </a:ext>
              </a:extLst>
            </xdr:cNvPr>
            <xdr:cNvSpPr txBox="1"/>
          </xdr:nvSpPr>
          <xdr:spPr>
            <a:xfrm>
              <a:off x="9564060" y="6178282"/>
              <a:ext cx="539700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s-MX" sz="11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s-MX" sz="1100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̂"/>
                                <m:ctrlPr>
                                  <a:rPr lang="es-MX" sz="110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s-MX" sz="110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  <m:r>
                              <a:rPr lang="es-MX" sz="1100" i="0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s-MX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d>
                      </m:e>
                      <m:sup>
                        <m:r>
                          <a:rPr lang="es-MX" sz="110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6BCC94A2-2EB3-7FDE-FF3D-A9AADC0BB39B}"/>
                </a:ext>
              </a:extLst>
            </xdr:cNvPr>
            <xdr:cNvSpPr txBox="1"/>
          </xdr:nvSpPr>
          <xdr:spPr>
            <a:xfrm>
              <a:off x="9564060" y="6178282"/>
              <a:ext cx="539700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i="0">
                  <a:latin typeface="Cambria Math" panose="02040503050406030204" pitchFamily="18" charset="0"/>
                </a:rPr>
                <a:t>(𝑦 ̂−𝑦)^2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8</xdr:col>
      <xdr:colOff>277185</xdr:colOff>
      <xdr:row>29</xdr:row>
      <xdr:rowOff>197142</xdr:rowOff>
    </xdr:from>
    <xdr:ext cx="325281" cy="19216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AD3E2929-8DA2-4A56-9D49-4113D431B569}"/>
                </a:ext>
              </a:extLst>
            </xdr:cNvPr>
            <xdr:cNvSpPr txBox="1"/>
          </xdr:nvSpPr>
          <xdr:spPr>
            <a:xfrm>
              <a:off x="6776597" y="5737050"/>
              <a:ext cx="325281" cy="1921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s-MX" sz="11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s-MX" sz="1100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̂"/>
                                <m:ctrlPr>
                                  <a:rPr lang="es-MX" sz="110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s-MX" sz="110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</m:e>
                        </m:d>
                      </m:e>
                      <m:sup/>
                    </m:sSup>
                  </m:oMath>
                </m:oMathPara>
              </a14:m>
              <a:endParaRPr lang="es-MX" sz="1100"/>
            </a:p>
          </xdr:txBody>
        </xdr:sp>
      </mc:Choice>
      <mc:Fallback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AD3E2929-8DA2-4A56-9D49-4113D431B569}"/>
                </a:ext>
              </a:extLst>
            </xdr:cNvPr>
            <xdr:cNvSpPr txBox="1"/>
          </xdr:nvSpPr>
          <xdr:spPr>
            <a:xfrm>
              <a:off x="6776597" y="5737050"/>
              <a:ext cx="325281" cy="1921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i="0">
                  <a:latin typeface="Cambria Math" panose="02040503050406030204" pitchFamily="18" charset="0"/>
                </a:rPr>
                <a:t>(𝑦 ̂ )^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</xdr:col>
      <xdr:colOff>15549</xdr:colOff>
      <xdr:row>26</xdr:row>
      <xdr:rowOff>22552</xdr:rowOff>
    </xdr:from>
    <xdr:ext cx="86805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641096F8-666B-9FDF-F7A5-4BC779F5DD10}"/>
                </a:ext>
              </a:extLst>
            </xdr:cNvPr>
            <xdr:cNvSpPr txBox="1"/>
          </xdr:nvSpPr>
          <xdr:spPr>
            <a:xfrm>
              <a:off x="5751560" y="4995162"/>
              <a:ext cx="86805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r>
                      <a:rPr lang="es-MX" sz="1100" i="1">
                        <a:latin typeface="Cambria Math" panose="02040503050406030204" pitchFamily="18" charset="0"/>
                      </a:rPr>
                      <m:t>𝑏𝑂</m:t>
                    </m:r>
                    <m:r>
                      <a:rPr lang="es-MX" sz="1100" i="0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̅"/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  <m:r>
                      <a:rPr lang="es-MX" sz="1100" i="0">
                        <a:latin typeface="Cambria Math" panose="02040503050406030204" pitchFamily="18" charset="0"/>
                      </a:rPr>
                      <m:t>−</m:t>
                    </m:r>
                    <m:r>
                      <a:rPr lang="es-MX" sz="110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1</m:t>
                    </m:r>
                    <m:acc>
                      <m:accPr>
                        <m:chr m:val="̅"/>
                        <m:ctrlPr>
                          <a:rPr lang="es-MX" sz="110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MX" sz="110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641096F8-666B-9FDF-F7A5-4BC779F5DD10}"/>
                </a:ext>
              </a:extLst>
            </xdr:cNvPr>
            <xdr:cNvSpPr txBox="1"/>
          </xdr:nvSpPr>
          <xdr:spPr>
            <a:xfrm>
              <a:off x="5751560" y="4995162"/>
              <a:ext cx="86805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i="0">
                  <a:latin typeface="Cambria Math" panose="02040503050406030204" pitchFamily="18" charset="0"/>
                </a:rPr>
                <a:t>𝑏𝑂=𝑦 ̅−𝑏</a:t>
              </a:r>
              <a:r>
                <a:rPr lang="es-MX" sz="1100" b="0" i="0">
                  <a:latin typeface="Cambria Math" panose="02040503050406030204" pitchFamily="18" charset="0"/>
                </a:rPr>
                <a:t>1</a:t>
              </a:r>
              <a:r>
                <a:rPr lang="es-MX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10</xdr:col>
      <xdr:colOff>36558</xdr:colOff>
      <xdr:row>29</xdr:row>
      <xdr:rowOff>8544</xdr:rowOff>
    </xdr:from>
    <xdr:ext cx="847283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F4ADD4C7-A734-9F7A-3E38-DA1ABAB36A37}"/>
                </a:ext>
              </a:extLst>
            </xdr:cNvPr>
            <xdr:cNvSpPr txBox="1"/>
          </xdr:nvSpPr>
          <xdr:spPr>
            <a:xfrm>
              <a:off x="8062771" y="5548452"/>
              <a:ext cx="847283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  <m:r>
                      <a:rPr lang="es-MX" sz="1100" i="0">
                        <a:latin typeface="Cambria Math" panose="02040503050406030204" pitchFamily="18" charset="0"/>
                      </a:rPr>
                      <m:t>=</m:t>
                    </m:r>
                    <m:r>
                      <a:rPr lang="es-MX" sz="110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0</m:t>
                    </m:r>
                    <m:r>
                      <a:rPr lang="es-MX" sz="1100" i="0">
                        <a:latin typeface="Cambria Math" panose="02040503050406030204" pitchFamily="18" charset="0"/>
                      </a:rPr>
                      <m:t>+</m:t>
                    </m:r>
                    <m:r>
                      <a:rPr lang="es-MX" sz="110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1</m:t>
                    </m:r>
                    <m:r>
                      <a:rPr lang="es-MX" sz="1100" i="1">
                        <a:latin typeface="Cambria Math" panose="02040503050406030204" pitchFamily="18" charset="0"/>
                      </a:rPr>
                      <m:t>𝑥</m:t>
                    </m:r>
                  </m:oMath>
                </m:oMathPara>
              </a14:m>
              <a:endParaRPr lang="es-MX" sz="1100"/>
            </a:p>
          </xdr:txBody>
        </xdr:sp>
      </mc:Choice>
      <mc:Fallback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F4ADD4C7-A734-9F7A-3E38-DA1ABAB36A37}"/>
                </a:ext>
              </a:extLst>
            </xdr:cNvPr>
            <xdr:cNvSpPr txBox="1"/>
          </xdr:nvSpPr>
          <xdr:spPr>
            <a:xfrm>
              <a:off x="8062771" y="5548452"/>
              <a:ext cx="847283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i="0">
                  <a:latin typeface="Cambria Math" panose="02040503050406030204" pitchFamily="18" charset="0"/>
                </a:rPr>
                <a:t>𝑦 ̂=𝑏</a:t>
              </a:r>
              <a:r>
                <a:rPr lang="es-MX" sz="1100" b="0" i="0">
                  <a:latin typeface="Cambria Math" panose="02040503050406030204" pitchFamily="18" charset="0"/>
                </a:rPr>
                <a:t>0</a:t>
              </a:r>
              <a:r>
                <a:rPr lang="es-MX" sz="1100" i="0">
                  <a:latin typeface="Cambria Math" panose="02040503050406030204" pitchFamily="18" charset="0"/>
                </a:rPr>
                <a:t>+𝑏</a:t>
              </a:r>
              <a:r>
                <a:rPr lang="es-MX" sz="1100" b="0" i="0">
                  <a:latin typeface="Cambria Math" panose="02040503050406030204" pitchFamily="18" charset="0"/>
                </a:rPr>
                <a:t>1</a:t>
              </a:r>
              <a:r>
                <a:rPr lang="es-MX" sz="1100" i="0">
                  <a:latin typeface="Cambria Math" panose="02040503050406030204" pitchFamily="18" charset="0"/>
                </a:rPr>
                <a:t>𝑥</a:t>
              </a:r>
              <a:endParaRPr lang="es-MX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0A032-2CB3-4BB5-BCFD-80A5C2FB5B02}">
  <dimension ref="A1:N49"/>
  <sheetViews>
    <sheetView tabSelected="1" topLeftCell="A30" zoomScale="108" workbookViewId="0">
      <selection activeCell="K41" sqref="K41"/>
    </sheetView>
  </sheetViews>
  <sheetFormatPr baseColWidth="10" defaultRowHeight="15" x14ac:dyDescent="0.25"/>
  <cols>
    <col min="1" max="1" width="16.140625" customWidth="1"/>
    <col min="4" max="4" width="12.5703125" bestFit="1" customWidth="1"/>
  </cols>
  <sheetData>
    <row r="1" spans="1:9" x14ac:dyDescent="0.25">
      <c r="A1" t="s">
        <v>0</v>
      </c>
      <c r="B1" t="s">
        <v>1</v>
      </c>
    </row>
    <row r="2" spans="1:9" ht="15.75" x14ac:dyDescent="0.25">
      <c r="A2">
        <v>1</v>
      </c>
      <c r="B2">
        <v>52</v>
      </c>
      <c r="H2" s="3" t="s">
        <v>2</v>
      </c>
    </row>
    <row r="3" spans="1:9" x14ac:dyDescent="0.25">
      <c r="A3">
        <v>2</v>
      </c>
      <c r="B3">
        <v>56</v>
      </c>
      <c r="H3" t="s">
        <v>4</v>
      </c>
      <c r="I3" t="s">
        <v>1</v>
      </c>
    </row>
    <row r="4" spans="1:9" x14ac:dyDescent="0.25">
      <c r="A4">
        <v>3</v>
      </c>
      <c r="B4">
        <v>59</v>
      </c>
      <c r="H4" t="s">
        <v>12</v>
      </c>
      <c r="I4" t="s">
        <v>10</v>
      </c>
    </row>
    <row r="5" spans="1:9" x14ac:dyDescent="0.25">
      <c r="A5">
        <v>4</v>
      </c>
      <c r="B5">
        <v>64</v>
      </c>
      <c r="H5">
        <f>SUM(A2:A7)/6</f>
        <v>3.5</v>
      </c>
      <c r="I5">
        <f>SUM(B2:B7)/6</f>
        <v>61.666666666666664</v>
      </c>
    </row>
    <row r="6" spans="1:9" x14ac:dyDescent="0.25">
      <c r="A6">
        <v>5</v>
      </c>
      <c r="B6">
        <v>67</v>
      </c>
    </row>
    <row r="7" spans="1:9" x14ac:dyDescent="0.25">
      <c r="A7">
        <v>6</v>
      </c>
      <c r="B7">
        <v>72</v>
      </c>
    </row>
    <row r="8" spans="1:9" ht="15.75" x14ac:dyDescent="0.25">
      <c r="H8" s="3" t="s">
        <v>3</v>
      </c>
    </row>
    <row r="9" spans="1:9" x14ac:dyDescent="0.25">
      <c r="H9">
        <f>(A2-$H$5)</f>
        <v>-2.5</v>
      </c>
      <c r="I9">
        <f>(B2-$I$5)</f>
        <v>-9.6666666666666643</v>
      </c>
    </row>
    <row r="10" spans="1:9" x14ac:dyDescent="0.25">
      <c r="H10">
        <f>(A3-$H$5)</f>
        <v>-1.5</v>
      </c>
      <c r="I10">
        <f>(B3-$I$5)</f>
        <v>-5.6666666666666643</v>
      </c>
    </row>
    <row r="11" spans="1:9" x14ac:dyDescent="0.25">
      <c r="H11">
        <f>(A4-$H$5)</f>
        <v>-0.5</v>
      </c>
      <c r="I11">
        <f>(B4-$I$5)</f>
        <v>-2.6666666666666643</v>
      </c>
    </row>
    <row r="12" spans="1:9" x14ac:dyDescent="0.25">
      <c r="H12">
        <f>(A5-$H$5)</f>
        <v>0.5</v>
      </c>
      <c r="I12">
        <f>(B5-$I$5)</f>
        <v>2.3333333333333357</v>
      </c>
    </row>
    <row r="13" spans="1:9" x14ac:dyDescent="0.25">
      <c r="H13">
        <f>(A6-$H$5)</f>
        <v>1.5</v>
      </c>
      <c r="I13">
        <f>(B6-$I$5)</f>
        <v>5.3333333333333357</v>
      </c>
    </row>
    <row r="14" spans="1:9" x14ac:dyDescent="0.25">
      <c r="H14">
        <f>(A7-$H$5)</f>
        <v>2.5</v>
      </c>
      <c r="I14">
        <f>(B7-$I$5)</f>
        <v>10.333333333333336</v>
      </c>
    </row>
    <row r="16" spans="1:9" ht="15.75" x14ac:dyDescent="0.25">
      <c r="H16" s="3" t="s">
        <v>5</v>
      </c>
    </row>
    <row r="17" spans="7:13" x14ac:dyDescent="0.25">
      <c r="H17" t="s">
        <v>6</v>
      </c>
      <c r="I17" t="s">
        <v>21</v>
      </c>
    </row>
    <row r="18" spans="7:13" x14ac:dyDescent="0.25">
      <c r="H18" s="2">
        <f>(H9*I9)</f>
        <v>24.166666666666661</v>
      </c>
      <c r="I18">
        <f>POWER(H9,2)</f>
        <v>6.25</v>
      </c>
      <c r="L18" t="s">
        <v>11</v>
      </c>
    </row>
    <row r="19" spans="7:13" x14ac:dyDescent="0.25">
      <c r="H19">
        <f t="shared" ref="H19:H23" si="0">(H10*I10)</f>
        <v>8.4999999999999964</v>
      </c>
      <c r="I19">
        <f t="shared" ref="I19:I23" si="1">POWER(H10,2)</f>
        <v>2.25</v>
      </c>
      <c r="K19" t="s">
        <v>8</v>
      </c>
      <c r="L19" s="2">
        <f>(H24/I24)</f>
        <v>3.9428571428571431</v>
      </c>
    </row>
    <row r="20" spans="7:13" x14ac:dyDescent="0.25">
      <c r="H20" s="2">
        <f t="shared" si="0"/>
        <v>1.3333333333333321</v>
      </c>
      <c r="I20">
        <f t="shared" si="1"/>
        <v>0.25</v>
      </c>
    </row>
    <row r="21" spans="7:13" x14ac:dyDescent="0.25">
      <c r="H21" s="1">
        <f t="shared" si="0"/>
        <v>1.1666666666666679</v>
      </c>
      <c r="I21">
        <f t="shared" si="1"/>
        <v>0.25</v>
      </c>
    </row>
    <row r="22" spans="7:13" x14ac:dyDescent="0.25">
      <c r="H22">
        <f t="shared" si="0"/>
        <v>8.0000000000000036</v>
      </c>
      <c r="I22">
        <f t="shared" si="1"/>
        <v>2.25</v>
      </c>
    </row>
    <row r="23" spans="7:13" x14ac:dyDescent="0.25">
      <c r="G23" s="4" t="s">
        <v>7</v>
      </c>
      <c r="H23" s="2">
        <f t="shared" si="0"/>
        <v>25.833333333333339</v>
      </c>
      <c r="I23">
        <f t="shared" si="1"/>
        <v>6.25</v>
      </c>
    </row>
    <row r="24" spans="7:13" x14ac:dyDescent="0.25">
      <c r="H24">
        <f>SUM(H18:H23)</f>
        <v>69</v>
      </c>
      <c r="I24">
        <f>SUM(I18:I23)</f>
        <v>17.5</v>
      </c>
    </row>
    <row r="26" spans="7:13" ht="15.75" x14ac:dyDescent="0.25">
      <c r="H26" s="3" t="s">
        <v>9</v>
      </c>
    </row>
    <row r="28" spans="7:13" x14ac:dyDescent="0.25">
      <c r="H28">
        <f>I5-(L19*H5)</f>
        <v>47.86666666666666</v>
      </c>
    </row>
    <row r="30" spans="7:13" ht="15.75" x14ac:dyDescent="0.25">
      <c r="H30" s="3" t="s">
        <v>13</v>
      </c>
    </row>
    <row r="32" spans="7:13" x14ac:dyDescent="0.25">
      <c r="H32">
        <v>1</v>
      </c>
      <c r="I32" s="2">
        <f>SUM($H$28,($L$19*A2))</f>
        <v>51.809523809523803</v>
      </c>
      <c r="K32" s="2">
        <f>POWER(I32-B2,2)</f>
        <v>3.6281179138324446E-2</v>
      </c>
      <c r="M32" t="s">
        <v>14</v>
      </c>
    </row>
    <row r="33" spans="8:14" x14ac:dyDescent="0.25">
      <c r="H33">
        <v>2</v>
      </c>
      <c r="I33" s="2">
        <f>SUM($H$28,($L$19*A3))</f>
        <v>55.752380952380946</v>
      </c>
      <c r="K33" s="2">
        <f>POWER(I33-B3,2)</f>
        <v>6.1315192743767254E-2</v>
      </c>
    </row>
    <row r="34" spans="8:14" x14ac:dyDescent="0.25">
      <c r="H34">
        <v>3</v>
      </c>
      <c r="I34" s="2">
        <f>SUM($H$28,($L$19*A4))</f>
        <v>59.695238095238089</v>
      </c>
      <c r="K34" s="2">
        <f>POWER(I34-B4,2)</f>
        <v>0.48335600907028642</v>
      </c>
    </row>
    <row r="35" spans="8:14" x14ac:dyDescent="0.25">
      <c r="H35">
        <v>4</v>
      </c>
      <c r="I35" s="2">
        <f>SUM($H$28,($L$19*A5))</f>
        <v>63.638095238095232</v>
      </c>
      <c r="K35" s="2">
        <f>POWER(I35-B5,2)</f>
        <v>0.13097505668934661</v>
      </c>
    </row>
    <row r="36" spans="8:14" x14ac:dyDescent="0.25">
      <c r="H36">
        <v>5</v>
      </c>
      <c r="I36" s="2">
        <f>SUM($H$28,($L$19*A6))</f>
        <v>67.580952380952368</v>
      </c>
      <c r="K36" s="2">
        <f>POWER(I36-B6,2)</f>
        <v>0.33750566893422557</v>
      </c>
      <c r="M36" t="s">
        <v>20</v>
      </c>
      <c r="N36" t="s">
        <v>19</v>
      </c>
    </row>
    <row r="37" spans="8:14" x14ac:dyDescent="0.25">
      <c r="H37">
        <v>6</v>
      </c>
      <c r="I37" s="2">
        <f>SUM($H$28,($L$19*A7))</f>
        <v>71.523809523809518</v>
      </c>
      <c r="K37" s="2">
        <f>POWER(I37-B7,2)</f>
        <v>0.22675736961451762</v>
      </c>
      <c r="M37" s="2">
        <f>(I32-B2)</f>
        <v>-0.1904761904761969</v>
      </c>
      <c r="N37">
        <f>(I32-B2/B2)</f>
        <v>50.809523809523803</v>
      </c>
    </row>
    <row r="38" spans="8:14" x14ac:dyDescent="0.25">
      <c r="J38" s="6" t="s">
        <v>15</v>
      </c>
      <c r="K38" s="7" cm="1">
        <f t="array" ref="K38">SUM(K32:K37/6)</f>
        <v>0.21269841269841133</v>
      </c>
      <c r="M38" s="2">
        <f>(I33-B3)</f>
        <v>-0.24761904761905384</v>
      </c>
      <c r="N38">
        <f>(I33-B3/B3)</f>
        <v>54.752380952380946</v>
      </c>
    </row>
    <row r="39" spans="8:14" x14ac:dyDescent="0.25">
      <c r="J39" s="6" t="s">
        <v>16</v>
      </c>
      <c r="K39" s="7">
        <f>SQRT(K38)</f>
        <v>0.46119238144012237</v>
      </c>
      <c r="M39" s="2">
        <f>(I34-B4)</f>
        <v>0.69523809523808922</v>
      </c>
      <c r="N39">
        <f>(I34-B4/B4)</f>
        <v>58.695238095238089</v>
      </c>
    </row>
    <row r="40" spans="8:14" x14ac:dyDescent="0.25">
      <c r="J40" s="6" t="s">
        <v>17</v>
      </c>
      <c r="K40" s="7" cm="1">
        <f t="array" ref="K40">SUM(M37:M42/6)</f>
        <v>-7.1193051454088163E-15</v>
      </c>
      <c r="M40" s="2">
        <f>(I35-B5)</f>
        <v>-0.36190476190476772</v>
      </c>
      <c r="N40">
        <f>(I35-B5/B5)</f>
        <v>62.638095238095232</v>
      </c>
    </row>
    <row r="41" spans="8:14" x14ac:dyDescent="0.25">
      <c r="J41" s="6" t="s">
        <v>18</v>
      </c>
      <c r="K41" s="4" cm="1">
        <f t="array" ref="K41">SUM(N37:N42/6)</f>
        <v>60.666666666666657</v>
      </c>
      <c r="M41" s="2">
        <f>(I36-B6)</f>
        <v>0.58095238095236823</v>
      </c>
      <c r="N41">
        <f>(I36-B6/B6)</f>
        <v>66.580952380952368</v>
      </c>
    </row>
    <row r="42" spans="8:14" x14ac:dyDescent="0.25">
      <c r="M42" s="2">
        <f>(I37-B7)</f>
        <v>-0.4761904761904816</v>
      </c>
      <c r="N42">
        <f>(I37-B7/B7)</f>
        <v>70.523809523809518</v>
      </c>
    </row>
    <row r="49" spans="8:8" x14ac:dyDescent="0.25">
      <c r="H49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Gris_ Glori Lu. Ga</dc:creator>
  <cp:lastModifiedBy>Gris_ Glori Lu. Ga</cp:lastModifiedBy>
  <dcterms:created xsi:type="dcterms:W3CDTF">2026-09-07T19:26:07Z</dcterms:created>
  <dcterms:modified xsi:type="dcterms:W3CDTF">2026-09-14T19:47:30Z</dcterms:modified>
</cp:coreProperties>
</file>